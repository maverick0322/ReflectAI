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5260" tabRatio="781" firstSheet="0" activeTab="1" autoFilterDateGrouping="1"/>
  </bookViews>
  <sheets>
    <sheet name="Problema" sheetId="1" state="visible" r:id="rId1"/>
    <sheet name="Criterios" sheetId="2" state="visible" r:id="rId2"/>
    <sheet name="Alt_Costo" sheetId="3" state="visible" r:id="rId3"/>
    <sheet name="Alt_Desempeño" sheetId="4" state="visible" r:id="rId4"/>
    <sheet name="Alt_Curva_De_Aprendizaje" sheetId="5" state="visible" r:id="rId5"/>
    <sheet name="Alt_Compatibilidad" sheetId="6" state="visible" r:id="rId6"/>
    <sheet name="Alt_Escalabilidad" sheetId="7" state="visible" r:id="rId7"/>
    <sheet name="Alt_Facilidad_De_Integración" sheetId="8" state="visible" r:id="rId8"/>
    <sheet name="Alt_Mantenibilidad" sheetId="9" state="visible" r:id="rId9"/>
    <sheet name="Resultado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onsolas"/>
      <family val="3"/>
      <color rgb="FFF9FAFB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12" fontId="0" fillId="0" borderId="1" applyAlignment="1" pivotButton="0" quotePrefix="0" xfId="0">
      <alignment horizontal="center"/>
    </xf>
    <xf numFmtId="12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2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53" workbookViewId="0">
      <selection activeCell="A10" sqref="A10"/>
    </sheetView>
  </sheetViews>
  <sheetFormatPr baseColWidth="8" defaultRowHeight="14.5"/>
  <cols>
    <col width="18" customWidth="1" min="1" max="9"/>
  </cols>
  <sheetData>
    <row r="1" ht="18.5" customHeight="1">
      <c r="A1" s="1" t="inlineStr">
        <is>
          <t>Plantilla AHP (Analytic Hierarchy Process)</t>
        </is>
      </c>
    </row>
    <row r="3">
      <c r="A3" t="inlineStr">
        <is>
          <t>Objetivo:</t>
        </is>
      </c>
      <c r="B3" t="inlineStr">
        <is>
          <t>Definir stack tecnológico</t>
        </is>
      </c>
    </row>
    <row r="5">
      <c r="A5" t="inlineStr">
        <is>
          <t>Criterios</t>
        </is>
      </c>
      <c r="C5" t="inlineStr">
        <is>
          <t>Alternativas</t>
        </is>
      </c>
    </row>
    <row r="6">
      <c r="A6" t="inlineStr">
        <is>
          <t>Costo</t>
        </is>
      </c>
      <c r="C6" t="inlineStr">
        <is>
          <t>A</t>
        </is>
      </c>
      <c r="D6" t="inlineStr">
        <is>
          <t>Next.JS React + TypeScript, Tailwind CSS Supabase PostgreSQL , GroqAPI y Vercel</t>
        </is>
      </c>
    </row>
    <row r="7">
      <c r="A7" t="inlineStr">
        <is>
          <t>Desempeño</t>
        </is>
      </c>
      <c r="C7" t="inlineStr">
        <is>
          <t>B</t>
        </is>
      </c>
      <c r="D7" t="inlineStr">
        <is>
          <t xml:space="preserve">.Net Core  +  C# , React + TypeScript, Tailwind CSS, SQL Server, OpenAIAPI, y AWS  </t>
        </is>
      </c>
    </row>
    <row r="8">
      <c r="A8" t="inlineStr">
        <is>
          <t>Curva de aprendizaje</t>
        </is>
      </c>
    </row>
    <row r="9">
      <c r="A9" t="inlineStr">
        <is>
          <t xml:space="preserve">Compatibilidad </t>
        </is>
      </c>
    </row>
    <row r="10">
      <c r="A10" t="inlineStr">
        <is>
          <t>Mantenibilidad</t>
        </is>
      </c>
    </row>
    <row r="11">
      <c r="A11" t="inlineStr">
        <is>
          <t>Escalabilidad</t>
        </is>
      </c>
    </row>
    <row r="12">
      <c r="A12" t="inlineStr">
        <is>
          <t>Facilidad de integración</t>
        </is>
      </c>
    </row>
    <row r="14">
      <c r="A14" t="inlineStr">
        <is>
          <t>Justificacion AHP</t>
        </is>
      </c>
    </row>
    <row r="15">
      <c r="A15" t="inlineStr">
        <is>
          <t>Costo total favorece A (infraestructura y time-to-market).</t>
        </is>
      </c>
    </row>
    <row r="16">
      <c r="A16" t="inlineStr">
        <is>
          <t>Curva de aprendizaje y partes pre-hechas favorecen A.</t>
        </is>
      </c>
    </row>
    <row r="17">
      <c r="A17" t="inlineStr">
        <is>
          <t>B mantiene ventaja en desempeno/mantenibilidad, pero con menor peso global.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3"/>
  <sheetViews>
    <sheetView tabSelected="1" zoomScale="122" zoomScaleNormal="153" workbookViewId="0">
      <selection activeCell="J25" sqref="J25"/>
    </sheetView>
  </sheetViews>
  <sheetFormatPr baseColWidth="8" defaultRowHeight="14.5"/>
  <cols>
    <col width="18" customWidth="1" min="1" max="12"/>
    <col width="7.6328125" bestFit="1" customWidth="1" min="14" max="14"/>
  </cols>
  <sheetData>
    <row r="2">
      <c r="A2" s="4" t="n"/>
      <c r="B2" s="4" t="inlineStr">
        <is>
          <t>Costo</t>
        </is>
      </c>
      <c r="C2" s="7" t="inlineStr">
        <is>
          <t>Curva de aprendizaje</t>
        </is>
      </c>
      <c r="D2" s="7" t="inlineStr">
        <is>
          <t>Desempeño</t>
        </is>
      </c>
      <c r="E2" s="7" t="inlineStr">
        <is>
          <t>Mantenibilidad</t>
        </is>
      </c>
      <c r="F2" s="7" t="inlineStr">
        <is>
          <t>Facilidad de integración</t>
        </is>
      </c>
      <c r="G2" s="7" t="inlineStr">
        <is>
          <t>Escalabilidad</t>
        </is>
      </c>
      <c r="H2" s="7" t="inlineStr">
        <is>
          <t>Compatibilidad</t>
        </is>
      </c>
    </row>
    <row r="3">
      <c r="A3" s="4" t="inlineStr">
        <is>
          <t>Costo</t>
        </is>
      </c>
      <c r="B3" s="9" t="n">
        <v>1</v>
      </c>
      <c r="C3" s="9" t="n">
        <v>1.8</v>
      </c>
      <c r="D3" s="9" t="n">
        <v>3.6</v>
      </c>
      <c r="E3" s="9" t="n">
        <v>6</v>
      </c>
      <c r="F3" s="9" t="n">
        <v>2.25</v>
      </c>
      <c r="G3" s="9" t="n">
        <v>5.142857</v>
      </c>
      <c r="H3" s="9" t="n">
        <v>7.2</v>
      </c>
      <c r="I3" s="3" t="n"/>
      <c r="J3" s="3" t="n"/>
    </row>
    <row r="4">
      <c r="A4" s="7" t="inlineStr">
        <is>
          <t>Curva de aprendizaje</t>
        </is>
      </c>
      <c r="B4" s="9" t="n">
        <v>0.555556</v>
      </c>
      <c r="C4" s="9" t="n">
        <v>1</v>
      </c>
      <c r="D4" s="9" t="n">
        <v>2</v>
      </c>
      <c r="E4" s="9" t="n">
        <v>3.333333</v>
      </c>
      <c r="F4" s="9" t="n">
        <v>1.25</v>
      </c>
      <c r="G4" s="9" t="n">
        <v>2.857143</v>
      </c>
      <c r="H4" s="9" t="n">
        <v>4</v>
      </c>
      <c r="I4" s="3" t="n"/>
      <c r="J4" s="3" t="n"/>
    </row>
    <row r="5">
      <c r="A5" s="7" t="inlineStr">
        <is>
          <t>Desempeño</t>
        </is>
      </c>
      <c r="B5" s="9" t="n">
        <v>0.277778</v>
      </c>
      <c r="C5" s="9" t="n">
        <v>0.5</v>
      </c>
      <c r="D5" s="9" t="n">
        <v>1</v>
      </c>
      <c r="E5" s="9" t="n">
        <v>1.666667</v>
      </c>
      <c r="F5" s="9" t="n">
        <v>0.625</v>
      </c>
      <c r="G5" s="9" t="n">
        <v>1.428571</v>
      </c>
      <c r="H5" s="9" t="n">
        <v>2</v>
      </c>
      <c r="I5" s="3" t="n"/>
      <c r="J5" s="3" t="n"/>
    </row>
    <row r="6">
      <c r="A6" s="7" t="inlineStr">
        <is>
          <t>Mantenibilidad</t>
        </is>
      </c>
      <c r="B6" s="9" t="n">
        <v>0.166667</v>
      </c>
      <c r="C6" s="9" t="n">
        <v>0.3</v>
      </c>
      <c r="D6" s="9" t="n">
        <v>0.6</v>
      </c>
      <c r="E6" s="9" t="n">
        <v>1</v>
      </c>
      <c r="F6" s="9" t="n">
        <v>0.375</v>
      </c>
      <c r="G6" s="9" t="n">
        <v>0.857143</v>
      </c>
      <c r="H6" s="9" t="n">
        <v>1.2</v>
      </c>
      <c r="I6" s="3" t="n"/>
      <c r="J6" s="3" t="n"/>
    </row>
    <row r="7">
      <c r="A7" s="7" t="inlineStr">
        <is>
          <t>Facilidad de integración</t>
        </is>
      </c>
      <c r="B7" s="9" t="n">
        <v>0.444444</v>
      </c>
      <c r="C7" s="9" t="n">
        <v>0.8</v>
      </c>
      <c r="D7" s="9" t="n">
        <v>1.6</v>
      </c>
      <c r="E7" s="9" t="n">
        <v>2.666667</v>
      </c>
      <c r="F7" s="9" t="n">
        <v>1</v>
      </c>
      <c r="G7" s="9" t="n">
        <v>2.285714</v>
      </c>
      <c r="H7" s="9" t="n">
        <v>3.2</v>
      </c>
      <c r="I7" s="3" t="n"/>
      <c r="J7" s="3" t="n"/>
    </row>
    <row r="8">
      <c r="A8" s="7" t="inlineStr">
        <is>
          <t>Escalabilidad</t>
        </is>
      </c>
      <c r="B8" s="9" t="n">
        <v>0.194444</v>
      </c>
      <c r="C8" s="9" t="n">
        <v>0.35</v>
      </c>
      <c r="D8" s="9" t="n">
        <v>0.7</v>
      </c>
      <c r="E8" s="9" t="n">
        <v>1.166667</v>
      </c>
      <c r="F8" s="9" t="n">
        <v>0.4375</v>
      </c>
      <c r="G8" s="9" t="n">
        <v>1</v>
      </c>
      <c r="H8" s="9" t="n">
        <v>1.4</v>
      </c>
      <c r="I8" s="3" t="n"/>
      <c r="J8" s="3" t="n"/>
    </row>
    <row r="9">
      <c r="A9" s="8" t="inlineStr">
        <is>
          <t>Compatibilidad</t>
        </is>
      </c>
      <c r="B9" s="9" t="n">
        <v>0.138889</v>
      </c>
      <c r="C9" s="9" t="n">
        <v>0.25</v>
      </c>
      <c r="D9" s="9" t="n">
        <v>0.5</v>
      </c>
      <c r="E9" s="9" t="n">
        <v>0.833333</v>
      </c>
      <c r="F9" s="9" t="n">
        <v>0.3125</v>
      </c>
      <c r="G9" s="9" t="n">
        <v>0.714286</v>
      </c>
      <c r="H9" s="9" t="n">
        <v>1</v>
      </c>
      <c r="I9" s="3" t="n"/>
      <c r="J9" s="3" t="n"/>
    </row>
    <row r="10">
      <c r="A10" s="5" t="inlineStr">
        <is>
          <t>Suma</t>
        </is>
      </c>
      <c r="B10" s="6">
        <f>SUM(B3:B9)</f>
        <v/>
      </c>
      <c r="C10" s="6">
        <f>SUM(C3:C9)</f>
        <v/>
      </c>
      <c r="D10" s="6">
        <f>SUM(D3:D9)</f>
        <v/>
      </c>
      <c r="E10" s="6">
        <f>SUM(E3:E9)</f>
        <v/>
      </c>
      <c r="F10" s="6">
        <f>SUM(F3:F9)</f>
        <v/>
      </c>
      <c r="G10" s="6">
        <f>SUM(G3:G9)</f>
        <v/>
      </c>
      <c r="H10" s="6">
        <f>SUM(H3:H9)</f>
        <v/>
      </c>
      <c r="I10" s="3" t="n"/>
      <c r="J10" s="3" t="n"/>
    </row>
    <row r="12">
      <c r="A12" s="2" t="inlineStr">
        <is>
          <t>Normalizado</t>
        </is>
      </c>
    </row>
    <row r="13">
      <c r="A13" s="4" t="n"/>
      <c r="B13" s="4" t="inlineStr">
        <is>
          <t>Costo</t>
        </is>
      </c>
      <c r="C13" s="7" t="inlineStr">
        <is>
          <t>Curva de aprendizaje</t>
        </is>
      </c>
      <c r="D13" s="7" t="inlineStr">
        <is>
          <t>Desempeño</t>
        </is>
      </c>
      <c r="E13" s="7" t="inlineStr">
        <is>
          <t>Mantenibilidad</t>
        </is>
      </c>
      <c r="F13" s="7" t="inlineStr">
        <is>
          <t>Facilidad de integración</t>
        </is>
      </c>
      <c r="G13" s="7" t="inlineStr">
        <is>
          <t>Escalabilidad</t>
        </is>
      </c>
      <c r="H13" s="7" t="inlineStr">
        <is>
          <t>Compatibilidad</t>
        </is>
      </c>
      <c r="I13" s="2" t="inlineStr">
        <is>
          <t>Peso</t>
        </is>
      </c>
      <c r="J13" s="2" t="inlineStr">
        <is>
          <t>Weighted Sum</t>
        </is>
      </c>
      <c r="K13" s="2" t="inlineStr">
        <is>
          <t>λ</t>
        </is>
      </c>
      <c r="N13" t="inlineStr">
        <is>
          <t>RI Table</t>
        </is>
      </c>
    </row>
    <row r="14">
      <c r="A14" s="5" t="inlineStr">
        <is>
          <t>Costo</t>
        </is>
      </c>
      <c r="B14" s="11">
        <f>B3/$B$10</f>
        <v/>
      </c>
      <c r="C14" s="11">
        <f>C3/$C$10</f>
        <v/>
      </c>
      <c r="D14" s="11">
        <f>D3/$D$10</f>
        <v/>
      </c>
      <c r="E14" s="11">
        <f>E3/$E$10</f>
        <v/>
      </c>
      <c r="F14" s="11">
        <f>F3/$F$10</f>
        <v/>
      </c>
      <c r="G14" s="11">
        <f>G3/$G$10</f>
        <v/>
      </c>
      <c r="H14" s="11">
        <f>H3/$H$10</f>
        <v/>
      </c>
      <c r="I14" s="12">
        <f>AVERAGE(B14:H14)</f>
        <v/>
      </c>
      <c r="J14" s="13">
        <f>B3 * $I$14 + C3 * $I$15 + D3 * $I$16 + E3 * $I$17 + F3 * $I$18 + G3 * $I$19 + H3 * $I$20</f>
        <v/>
      </c>
      <c r="K14">
        <f>J14/I14</f>
        <v/>
      </c>
      <c r="N14" t="inlineStr">
        <is>
          <t>n</t>
        </is>
      </c>
      <c r="O14" t="inlineStr">
        <is>
          <t>RI</t>
        </is>
      </c>
    </row>
    <row r="15">
      <c r="A15" s="7" t="inlineStr">
        <is>
          <t>Curva de aprendizaje</t>
        </is>
      </c>
      <c r="B15" s="11">
        <f>B4/$B$10</f>
        <v/>
      </c>
      <c r="C15" s="11">
        <f>C4/$C$10</f>
        <v/>
      </c>
      <c r="D15" s="11">
        <f>D4/$D$10</f>
        <v/>
      </c>
      <c r="E15" s="11">
        <f>E4/$E$10</f>
        <v/>
      </c>
      <c r="F15" s="11">
        <f>F4/$F$10</f>
        <v/>
      </c>
      <c r="G15" s="11">
        <f>G4/$G$10</f>
        <v/>
      </c>
      <c r="H15" s="11">
        <f>H4/$H$10</f>
        <v/>
      </c>
      <c r="I15" s="12">
        <f>AVERAGE(B15:H15)</f>
        <v/>
      </c>
      <c r="J15" s="13">
        <f>B4 * $I$14 + C4 * $I$15 + D4 * $I$16 + E4 * $I$17 + F4 * $I$18 + G4 * $I$19 + H4 * $I$20</f>
        <v/>
      </c>
      <c r="K15">
        <f>J15/I15</f>
        <v/>
      </c>
      <c r="N15" t="n">
        <v>1</v>
      </c>
      <c r="O15" t="n">
        <v>0</v>
      </c>
    </row>
    <row r="16">
      <c r="A16" s="7" t="inlineStr">
        <is>
          <t>Desempeño</t>
        </is>
      </c>
      <c r="B16" s="11">
        <f>B5/$B$10</f>
        <v/>
      </c>
      <c r="C16" s="11">
        <f>C5/$C$10</f>
        <v/>
      </c>
      <c r="D16" s="11">
        <f>D5/$D$10</f>
        <v/>
      </c>
      <c r="E16" s="11">
        <f>E5/$E$10</f>
        <v/>
      </c>
      <c r="F16" s="11">
        <f>F5/$F$10</f>
        <v/>
      </c>
      <c r="G16" s="11">
        <f>G5/$G$10</f>
        <v/>
      </c>
      <c r="H16" s="11">
        <f>H5/$H$10</f>
        <v/>
      </c>
      <c r="I16" s="12">
        <f>AVERAGE(B16:H16)</f>
        <v/>
      </c>
      <c r="J16" s="13">
        <f>B5 * $I$14 + C5 * $I$15 + D5 * $I$16 + E5 * $I$17 + F5 * $I$18 + G5 * $I$19 + H5 * $I$20</f>
        <v/>
      </c>
      <c r="K16">
        <f>J16/I16</f>
        <v/>
      </c>
      <c r="N16" t="n">
        <v>2</v>
      </c>
      <c r="O16" t="n">
        <v>0</v>
      </c>
    </row>
    <row r="17">
      <c r="A17" s="7" t="inlineStr">
        <is>
          <t>Mantenibilidad</t>
        </is>
      </c>
      <c r="B17" s="11">
        <f>B6/$B$10</f>
        <v/>
      </c>
      <c r="C17" s="11">
        <f>C6/$C$10</f>
        <v/>
      </c>
      <c r="D17" s="11">
        <f>D6/$D$10</f>
        <v/>
      </c>
      <c r="E17" s="11">
        <f>E6/$E$10</f>
        <v/>
      </c>
      <c r="F17" s="11">
        <f>F6/$F$10</f>
        <v/>
      </c>
      <c r="G17" s="11">
        <f>G6/$G$10</f>
        <v/>
      </c>
      <c r="H17" s="11">
        <f>H6/$H$10</f>
        <v/>
      </c>
      <c r="I17" s="12">
        <f>AVERAGE(B17:H17)</f>
        <v/>
      </c>
      <c r="J17" s="13">
        <f>B6 * $I$14 + C6 * $I$15 + D6 * $I$16 + E6 * $I$17 + F6 * $I$18 + G6 * $I$19 + H6 * $I$20</f>
        <v/>
      </c>
      <c r="K17">
        <f>J17/I17</f>
        <v/>
      </c>
      <c r="N17" t="n">
        <v>3</v>
      </c>
      <c r="O17" t="n">
        <v>0.58</v>
      </c>
    </row>
    <row r="18">
      <c r="A18" s="7" t="inlineStr">
        <is>
          <t>Facilidad de integración</t>
        </is>
      </c>
      <c r="B18" s="11">
        <f>B7/$B$10</f>
        <v/>
      </c>
      <c r="C18" s="11">
        <f>C7/$C$10</f>
        <v/>
      </c>
      <c r="D18" s="11">
        <f>D7/$D$10</f>
        <v/>
      </c>
      <c r="E18" s="11">
        <f>E7/$E$10</f>
        <v/>
      </c>
      <c r="F18" s="11">
        <f>F7/$F$10</f>
        <v/>
      </c>
      <c r="G18" s="11">
        <f>G7/$G$10</f>
        <v/>
      </c>
      <c r="H18" s="11">
        <f>H7/$H$10</f>
        <v/>
      </c>
      <c r="I18" s="12">
        <f>AVERAGE(B18:H18)</f>
        <v/>
      </c>
      <c r="J18" s="13">
        <f>B7 * $I$14 + C7 * $I$15 + D7 * $I$16 + E7 * $I$17 + F7 * $I$18 + G7 * $I$19 + H7 * $I$20</f>
        <v/>
      </c>
      <c r="K18">
        <f>J18/I18</f>
        <v/>
      </c>
      <c r="N18" t="n">
        <v>4</v>
      </c>
      <c r="O18" t="n">
        <v>0.9</v>
      </c>
    </row>
    <row r="19">
      <c r="A19" s="7" t="inlineStr">
        <is>
          <t>Escalabilidad</t>
        </is>
      </c>
      <c r="B19" s="11">
        <f>B8/$B$10</f>
        <v/>
      </c>
      <c r="C19" s="11">
        <f>C8/$C$10</f>
        <v/>
      </c>
      <c r="D19" s="11">
        <f>D8/$D$10</f>
        <v/>
      </c>
      <c r="E19" s="11">
        <f>E8/$E$10</f>
        <v/>
      </c>
      <c r="F19" s="11">
        <f>F8/$F$10</f>
        <v/>
      </c>
      <c r="G19" s="11">
        <f>G8/$G$10</f>
        <v/>
      </c>
      <c r="H19" s="11">
        <f>H8/$H$10</f>
        <v/>
      </c>
      <c r="I19" s="12">
        <f>AVERAGE(B19:H19)</f>
        <v/>
      </c>
      <c r="J19" s="13">
        <f>B8 * $I$14 + C8 * $I$15 + D8 * $I$16 + E8 * $I$17 + F8 * $I$18 + G8 * $I$19 + H8 * $I$20</f>
        <v/>
      </c>
      <c r="K19">
        <f>J19/I19</f>
        <v/>
      </c>
      <c r="N19" t="n">
        <v>5</v>
      </c>
      <c r="O19" t="n">
        <v>1.12</v>
      </c>
    </row>
    <row r="20">
      <c r="A20" s="7" t="inlineStr">
        <is>
          <t>Compatibilidad</t>
        </is>
      </c>
      <c r="B20" s="11">
        <f>B9/$B$10</f>
        <v/>
      </c>
      <c r="C20" s="11">
        <f>C9/$C$10</f>
        <v/>
      </c>
      <c r="D20" s="11">
        <f>D9/$D$10</f>
        <v/>
      </c>
      <c r="E20" s="11">
        <f>E9/$E$10</f>
        <v/>
      </c>
      <c r="F20" s="11">
        <f>F9/$F$10</f>
        <v/>
      </c>
      <c r="G20" s="11">
        <f>G9/$G$10</f>
        <v/>
      </c>
      <c r="H20" s="11">
        <f>H9/$H$10</f>
        <v/>
      </c>
      <c r="I20" s="12">
        <f>AVERAGE(B20:H20)</f>
        <v/>
      </c>
      <c r="J20" s="13">
        <f>B9 * $I$14 + C9 * $I$15 + D9 * $I$16 + E9 * $I$17 + F9 * $I$18 + G9 * $I$19 + H9 * $I$20</f>
        <v/>
      </c>
      <c r="K20">
        <f>J20/I20</f>
        <v/>
      </c>
      <c r="N20" t="n">
        <v>6</v>
      </c>
      <c r="O20" t="n">
        <v>1.24</v>
      </c>
    </row>
    <row r="21">
      <c r="B21" s="11" t="n"/>
      <c r="C21" s="11" t="n"/>
      <c r="D21" s="11" t="n"/>
      <c r="E21" s="11" t="n"/>
      <c r="F21" s="11" t="n"/>
      <c r="G21" s="11" t="n"/>
      <c r="H21" s="11" t="n"/>
      <c r="N21" t="n">
        <v>7</v>
      </c>
      <c r="O21" t="n">
        <v>1.32</v>
      </c>
    </row>
    <row r="22">
      <c r="N22" t="n">
        <v>8</v>
      </c>
      <c r="O22" t="n">
        <v>1.41</v>
      </c>
    </row>
    <row r="23">
      <c r="N23" t="n">
        <v>9</v>
      </c>
      <c r="O23" t="n">
        <v>1.45</v>
      </c>
    </row>
    <row r="24">
      <c r="N24" t="n">
        <v>10</v>
      </c>
      <c r="O24" t="n">
        <v>1.49</v>
      </c>
    </row>
    <row r="25">
      <c r="B25" s="13" t="n"/>
      <c r="C25" s="13" t="n"/>
      <c r="K25" t="inlineStr">
        <is>
          <t>λ max</t>
        </is>
      </c>
      <c r="L25">
        <f>AVERAGE(K14:K20)</f>
        <v/>
      </c>
    </row>
    <row r="26">
      <c r="B26" s="13" t="n"/>
      <c r="C26" s="12" t="n"/>
      <c r="K26" t="inlineStr">
        <is>
          <t>CI</t>
        </is>
      </c>
      <c r="L26">
        <f>(L25-7)/(7-1)</f>
        <v/>
      </c>
    </row>
    <row r="27">
      <c r="B27" s="13" t="n"/>
      <c r="K27" t="inlineStr">
        <is>
          <t>CR</t>
        </is>
      </c>
      <c r="L27">
        <f>L26/1.32</f>
        <v/>
      </c>
    </row>
    <row r="28">
      <c r="B28" s="13" t="n"/>
    </row>
    <row r="29">
      <c r="B29" s="13" t="n"/>
      <c r="K29" t="inlineStr">
        <is>
          <t>Consistencia</t>
        </is>
      </c>
      <c r="L29">
        <f>IF(L27&lt;0.1,"Consistente","Revisar juicios")</f>
        <v/>
      </c>
    </row>
    <row r="30">
      <c r="B30" s="13" t="n"/>
    </row>
    <row r="31">
      <c r="B31" s="13" t="n"/>
    </row>
    <row r="32">
      <c r="B32" s="13" t="n"/>
    </row>
    <row r="33">
      <c r="B33" s="14" t="n"/>
      <c r="E33" s="13" t="n"/>
    </row>
    <row r="34">
      <c r="B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  <row r="42">
      <c r="B42" s="14" t="n"/>
    </row>
    <row r="43">
      <c r="B43" s="14" t="n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6" t="n">
        <v>1</v>
      </c>
      <c r="C3" s="6" t="n">
        <v>7</v>
      </c>
      <c r="D3" s="3" t="n"/>
    </row>
    <row r="4">
      <c r="A4" s="4" t="inlineStr">
        <is>
          <t>B</t>
        </is>
      </c>
      <c r="B4" s="6" t="n">
        <v>0.142857</v>
      </c>
      <c r="C4" s="6" t="n">
        <v>1</v>
      </c>
      <c r="D4" s="3" t="n"/>
    </row>
    <row r="5">
      <c r="A5" s="4" t="n"/>
      <c r="B5" s="6" t="n"/>
      <c r="C5" s="6" t="n"/>
      <c r="D5" s="3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5" t="n">
        <v>1</v>
      </c>
      <c r="C3" s="5" t="n">
        <v>0.333333</v>
      </c>
    </row>
    <row r="4">
      <c r="A4" s="4" t="inlineStr">
        <is>
          <t>B</t>
        </is>
      </c>
      <c r="B4" s="5" t="n">
        <v>3</v>
      </c>
      <c r="C4" s="5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10" t="n">
        <v>1</v>
      </c>
      <c r="C3" s="10" t="n">
        <v>5</v>
      </c>
    </row>
    <row r="4">
      <c r="A4" s="4" t="inlineStr">
        <is>
          <t>B</t>
        </is>
      </c>
      <c r="B4" s="10" t="n">
        <v>0.2</v>
      </c>
      <c r="C4" s="10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10" t="n">
        <v>1</v>
      </c>
      <c r="C3" s="10" t="n">
        <v>2</v>
      </c>
    </row>
    <row r="4">
      <c r="A4" s="4" t="inlineStr">
        <is>
          <t>B</t>
        </is>
      </c>
      <c r="B4" s="10" t="n">
        <v>0.5</v>
      </c>
      <c r="C4" s="10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5" t="n">
        <v>1</v>
      </c>
      <c r="C3" s="5" t="n">
        <v>0.5</v>
      </c>
    </row>
    <row r="4">
      <c r="A4" s="4" t="inlineStr">
        <is>
          <t>B</t>
        </is>
      </c>
      <c r="B4" s="5" t="n">
        <v>2</v>
      </c>
      <c r="C4" s="5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10" t="n">
        <v>1</v>
      </c>
      <c r="C3" s="10" t="n">
        <v>6</v>
      </c>
    </row>
    <row r="4">
      <c r="A4" s="4" t="inlineStr">
        <is>
          <t>B</t>
        </is>
      </c>
      <c r="B4" s="10" t="n">
        <v>0.166667</v>
      </c>
      <c r="C4" s="10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1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9"/>
  </cols>
  <sheetData>
    <row r="2">
      <c r="A2" s="4" t="n"/>
      <c r="B2" s="4" t="inlineStr">
        <is>
          <t>A</t>
        </is>
      </c>
      <c r="C2" s="4" t="inlineStr">
        <is>
          <t>B</t>
        </is>
      </c>
      <c r="D2" s="2" t="n"/>
    </row>
    <row r="3">
      <c r="A3" s="4" t="inlineStr">
        <is>
          <t>A</t>
        </is>
      </c>
      <c r="B3" s="10" t="n">
        <v>1</v>
      </c>
      <c r="C3" s="10" t="n">
        <v>0.5</v>
      </c>
    </row>
    <row r="4">
      <c r="A4" s="4" t="inlineStr">
        <is>
          <t>B</t>
        </is>
      </c>
      <c r="B4" s="10" t="n">
        <v>2</v>
      </c>
      <c r="C4" s="10" t="n">
        <v>1</v>
      </c>
    </row>
    <row r="5">
      <c r="A5" s="4" t="n"/>
      <c r="B5" s="5" t="n"/>
      <c r="C5" s="5" t="n"/>
    </row>
    <row r="6">
      <c r="A6" s="5" t="inlineStr">
        <is>
          <t>Suma</t>
        </is>
      </c>
      <c r="B6" s="5">
        <f>SUM(B3:B5)</f>
        <v/>
      </c>
      <c r="C6" s="5">
        <f>SUM(C3:C5)</f>
        <v/>
      </c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  <row r="8">
      <c r="A8" s="2" t="inlineStr">
        <is>
          <t>Normalizado</t>
        </is>
      </c>
    </row>
    <row r="9">
      <c r="A9" s="4" t="n"/>
      <c r="B9" s="4" t="inlineStr">
        <is>
          <t>A</t>
        </is>
      </c>
      <c r="C9" s="4" t="inlineStr">
        <is>
          <t>B</t>
        </is>
      </c>
      <c r="D9" s="4" t="n"/>
      <c r="E9" s="4" t="inlineStr">
        <is>
          <t>Peso</t>
        </is>
      </c>
    </row>
    <row r="10">
      <c r="A10" s="5" t="inlineStr">
        <is>
          <t>A</t>
        </is>
      </c>
      <c r="B10" s="5">
        <f>B3/$B$6</f>
        <v/>
      </c>
      <c r="C10" s="5">
        <f>C3/$C$6</f>
        <v/>
      </c>
      <c r="D10" s="5" t="n"/>
      <c r="E10" s="5">
        <f>AVERAGE(B10:D10)</f>
        <v/>
      </c>
    </row>
    <row r="11">
      <c r="A11" s="5" t="inlineStr">
        <is>
          <t>B</t>
        </is>
      </c>
      <c r="B11" s="5">
        <f>B4/$B$6</f>
        <v/>
      </c>
      <c r="C11" s="5">
        <f>C4/$C$6</f>
        <v/>
      </c>
      <c r="D11" s="5" t="n"/>
      <c r="E11" s="5">
        <f>AVERAGE(B11:D11)</f>
        <v/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7"/>
  <sheetViews>
    <sheetView zoomScale="153" zoomScaleNormal="153" workbookViewId="0">
      <selection activeCell="A10" sqref="A10"/>
    </sheetView>
  </sheetViews>
  <sheetFormatPr baseColWidth="8" defaultRowHeight="14.5"/>
  <cols>
    <col width="18" customWidth="1" min="1" max="12"/>
  </cols>
  <sheetData>
    <row r="2">
      <c r="A2" s="4" t="inlineStr">
        <is>
          <t>Alternativa</t>
        </is>
      </c>
      <c r="B2" s="4" t="inlineStr">
        <is>
          <t>Costo</t>
        </is>
      </c>
      <c r="C2" s="4" t="inlineStr">
        <is>
          <t>Desempeño</t>
        </is>
      </c>
      <c r="D2" s="4" t="inlineStr">
        <is>
          <t>Curva de aprendizaje</t>
        </is>
      </c>
      <c r="E2" s="4" t="inlineStr">
        <is>
          <t>Compatibilidad</t>
        </is>
      </c>
      <c r="F2" s="4" t="inlineStr">
        <is>
          <t>Escalabilidad</t>
        </is>
      </c>
      <c r="G2" s="4" t="inlineStr">
        <is>
          <t>Facilidad de integración</t>
        </is>
      </c>
      <c r="H2" s="4" t="inlineStr">
        <is>
          <t>Mantenibilidad</t>
        </is>
      </c>
      <c r="I2" s="4" t="inlineStr">
        <is>
          <t>Score</t>
        </is>
      </c>
    </row>
    <row r="3">
      <c r="A3" s="5" t="inlineStr">
        <is>
          <t>A</t>
        </is>
      </c>
      <c r="B3" s="5">
        <f>Alt_Costo!E10</f>
        <v/>
      </c>
      <c r="C3" s="5">
        <f>Alt_Desempeño!E10</f>
        <v/>
      </c>
      <c r="D3" s="5">
        <f>Alt_Curva_De_Aprendizaje!E10</f>
        <v/>
      </c>
      <c r="E3" s="5">
        <f>Alt_Compatibilidad!E10</f>
        <v/>
      </c>
      <c r="F3" s="5">
        <f>Alt_Escalabilidad!E10</f>
        <v/>
      </c>
      <c r="G3" s="5">
        <f>Alt_Facilidad_De_Integración!E10</f>
        <v/>
      </c>
      <c r="H3" s="5">
        <f>Alt_Mantenibilidad!E10</f>
        <v/>
      </c>
      <c r="I3" s="5">
        <f>B3*Criterios!I14+D3*Criterios!I15+C3*Criterios!I16+H3*Criterios!I17+G3*Criterios!I18+F3*Criterios!I19+E3*Criterios!I20</f>
        <v/>
      </c>
    </row>
    <row r="4">
      <c r="A4" s="5" t="inlineStr">
        <is>
          <t>B</t>
        </is>
      </c>
      <c r="B4" s="5">
        <f>Alt_Costo!E11</f>
        <v/>
      </c>
      <c r="C4" s="5">
        <f>Alt_Desempeño!E11</f>
        <v/>
      </c>
      <c r="D4" s="5">
        <f>Alt_Curva_De_Aprendizaje!E11</f>
        <v/>
      </c>
      <c r="E4" s="5">
        <f>Alt_Compatibilidad!E11</f>
        <v/>
      </c>
      <c r="F4" s="5">
        <f>Alt_Escalabilidad!E11</f>
        <v/>
      </c>
      <c r="G4" s="5">
        <f>Alt_Facilidad_De_Integración!E11</f>
        <v/>
      </c>
      <c r="H4" s="5">
        <f>Alt_Mantenibilidad!E11</f>
        <v/>
      </c>
      <c r="I4" s="5">
        <f>B4*Criterios!I14+D4*Criterios!I15+C4*Criterios!I16+H4*Criterios!I17+G4*Criterios!I18+F4*Criterios!I19+E4*Criterios!I20</f>
        <v/>
      </c>
    </row>
    <row r="6">
      <c r="D6" t="inlineStr">
        <is>
          <t>Next.JS React + TypeScript, Tailwind CSS Supabase PostgreSQL , GroqAPI y Vercel</t>
        </is>
      </c>
    </row>
    <row r="7">
      <c r="D7" t="inlineStr">
        <is>
          <t xml:space="preserve">.Net Core  +  C# , React + TypeScript, Tailwind CSS, SQL Server, OpenAIAPI, y AWS  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2026-03-09T13:40:09Z</dcterms:created>
  <dcterms:modified xsi:type="dcterms:W3CDTF">2026-04-10T00:38:44Z</dcterms:modified>
  <cp:lastModifiedBy>GONZALEZ SANCHEZ EUGENIO SALVADOR</cp:lastModifiedBy>
  <cp:lastPrinted>2026-03-16T02:58:13Z</cp:lastPrinted>
</cp:coreProperties>
</file>